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gan\Downloads\"/>
    </mc:Choice>
  </mc:AlternateContent>
  <xr:revisionPtr revIDLastSave="0" documentId="8_{2FF4173F-BEA3-48A2-A013-CD10C7C77EE8}" xr6:coauthVersionLast="47" xr6:coauthVersionMax="47" xr10:uidLastSave="{00000000-0000-0000-0000-000000000000}"/>
  <bookViews>
    <workbookView xWindow="-120" yWindow="-120" windowWidth="51840" windowHeight="21120" xr2:uid="{DDA62C96-3EDF-4CD1-9940-6F52A600AA77}"/>
  </bookViews>
  <sheets>
    <sheet name="Subsystem Design BOM" sheetId="1" r:id="rId1"/>
  </sheets>
  <calcPr calcId="0"/>
</workbook>
</file>

<file path=xl/calcChain.xml><?xml version="1.0" encoding="utf-8"?>
<calcChain xmlns="http://schemas.openxmlformats.org/spreadsheetml/2006/main">
  <c r="D13" i="1" l="1"/>
  <c r="D26" i="1" s="1"/>
  <c r="D14" i="1"/>
  <c r="D15" i="1"/>
  <c r="D16" i="1"/>
  <c r="D17" i="1"/>
  <c r="D18" i="1"/>
  <c r="D19" i="1"/>
  <c r="D20" i="1"/>
  <c r="D21" i="1"/>
  <c r="D22" i="1"/>
  <c r="D23" i="1"/>
  <c r="D24" i="1"/>
  <c r="D25" i="1"/>
  <c r="D3" i="1"/>
  <c r="D4" i="1"/>
  <c r="D5" i="1"/>
  <c r="D6" i="1"/>
  <c r="D7" i="1"/>
  <c r="D8" i="1"/>
  <c r="D9" i="1"/>
  <c r="D10" i="1"/>
  <c r="D11" i="1"/>
  <c r="D12" i="1"/>
  <c r="D2" i="1"/>
</calcChain>
</file>

<file path=xl/sharedStrings.xml><?xml version="1.0" encoding="utf-8"?>
<sst xmlns="http://schemas.openxmlformats.org/spreadsheetml/2006/main" count="152" uniqueCount="71">
  <si>
    <t>Qty</t>
  </si>
  <si>
    <t>C1</t>
  </si>
  <si>
    <t>C2</t>
  </si>
  <si>
    <t>D1</t>
  </si>
  <si>
    <t>F1</t>
  </si>
  <si>
    <t>J1</t>
  </si>
  <si>
    <t>Barrel_Jack_Switch</t>
  </si>
  <si>
    <t>J3</t>
  </si>
  <si>
    <t>J6</t>
  </si>
  <si>
    <t>JP1</t>
  </si>
  <si>
    <t>R3</t>
  </si>
  <si>
    <t>R4</t>
  </si>
  <si>
    <t>SW1</t>
  </si>
  <si>
    <t>U1</t>
  </si>
  <si>
    <t>U2</t>
  </si>
  <si>
    <t>U3</t>
  </si>
  <si>
    <t>U4</t>
  </si>
  <si>
    <t>L7805ACV-DG</t>
  </si>
  <si>
    <t>RT9080-33GJ5</t>
  </si>
  <si>
    <t>PIC18F57Q43 (Curiosity Nano)</t>
  </si>
  <si>
    <t>BMI270</t>
  </si>
  <si>
    <t>Part Name/Description</t>
  </si>
  <si>
    <t>Unit Cost</t>
  </si>
  <si>
    <t>Total Cost</t>
  </si>
  <si>
    <t>Manufacturer</t>
  </si>
  <si>
    <t>Manufacturer Part #</t>
  </si>
  <si>
    <t>Vendor Link</t>
  </si>
  <si>
    <t>Datasheet Link</t>
  </si>
  <si>
    <t>Schematic Reference</t>
  </si>
  <si>
    <t>1uF, 10V Capacitor</t>
  </si>
  <si>
    <t>0.1uF, 25V Capacitor</t>
  </si>
  <si>
    <t>0.33uF, 25V Capacitor</t>
  </si>
  <si>
    <t>0.1uF, 10V Capacitor</t>
  </si>
  <si>
    <t>Red LED</t>
  </si>
  <si>
    <t>500mA Time-Delay Fuse</t>
  </si>
  <si>
    <t>4.7kΩ, 0.125W Resistor</t>
  </si>
  <si>
    <t>1kΩ, 0.125W Resistor</t>
  </si>
  <si>
    <t>10kΩ, 0.125W Resistor</t>
  </si>
  <si>
    <t>Pushbutton Switch</t>
  </si>
  <si>
    <t>PCB test-point loop</t>
  </si>
  <si>
    <t>RT9080-33GJ5 ; 3.3V reg.</t>
  </si>
  <si>
    <t>L7805ACV-DG ; 5V reg.</t>
  </si>
  <si>
    <t>BMI270 ; 6-Axis IMU</t>
  </si>
  <si>
    <t>C3, C4</t>
  </si>
  <si>
    <t>C5, C6</t>
  </si>
  <si>
    <t>C7, C8</t>
  </si>
  <si>
    <t>R1, R2</t>
  </si>
  <si>
    <t>TP1, TP2, TP3, TP4, TP5</t>
  </si>
  <si>
    <t>Microchip Technology</t>
  </si>
  <si>
    <t>Bosch Sensortec</t>
  </si>
  <si>
    <t>Richtek</t>
  </si>
  <si>
    <t>STMicroelectronics</t>
  </si>
  <si>
    <t>Peralta 109</t>
  </si>
  <si>
    <t>n/a</t>
  </si>
  <si>
    <t>(Classroom Stock ) n/a</t>
  </si>
  <si>
    <t>Keystone Electronics</t>
  </si>
  <si>
    <t>DM164150</t>
  </si>
  <si>
    <t>1x6 Expansion Header</t>
  </si>
  <si>
    <t>2x4 Team GPIO Header</t>
  </si>
  <si>
    <t>Adam Tech</t>
  </si>
  <si>
    <t>Curiosity Nano female headers</t>
  </si>
  <si>
    <t>2-Pin Open Jumper (Shunt)</t>
  </si>
  <si>
    <t>2-Pin Open Jumper (Header)</t>
  </si>
  <si>
    <t>Amphenol ICC (FCI)</t>
  </si>
  <si>
    <t>10129378-902002BLF</t>
  </si>
  <si>
    <t>MSC-G</t>
  </si>
  <si>
    <t>DigiKey</t>
  </si>
  <si>
    <t>Data Sheet</t>
  </si>
  <si>
    <t>(PDF on website)</t>
  </si>
  <si>
    <t>Fuse holder mount</t>
  </si>
  <si>
    <t>9V 3A Power Adapter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</si>
</sst>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24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3" xfId="0" applyBorder="1"/>
    <xf numFmtId="0" fontId="0" fillId="33" borderId="10" xfId="0" applyFill="1" applyBorder="1" applyAlignment="1">
      <alignment horizontal="center" vertical="center"/>
    </xf>
    <xf numFmtId="0" fontId="0" fillId="0" borderId="0" xfId="0" applyBorder="1"/>
    <xf numFmtId="0" fontId="0" fillId="0" borderId="15" xfId="0" applyBorder="1"/>
    <xf numFmtId="0" fontId="0" fillId="33" borderId="10" xfId="0" applyFont="1" applyFill="1" applyBorder="1" applyAlignment="1">
      <alignment horizontal="center" vertical="center"/>
    </xf>
    <xf numFmtId="8" fontId="0" fillId="0" borderId="10" xfId="0" applyNumberFormat="1" applyBorder="1"/>
    <xf numFmtId="8" fontId="0" fillId="0" borderId="11" xfId="0" applyNumberFormat="1" applyBorder="1"/>
    <xf numFmtId="8" fontId="0" fillId="0" borderId="12" xfId="0" applyNumberFormat="1" applyBorder="1"/>
    <xf numFmtId="8" fontId="0" fillId="0" borderId="0" xfId="0" applyNumberFormat="1" applyBorder="1"/>
    <xf numFmtId="0" fontId="0" fillId="0" borderId="17" xfId="0" applyBorder="1"/>
    <xf numFmtId="0" fontId="0" fillId="33" borderId="14" xfId="0" applyFill="1" applyBorder="1" applyAlignment="1">
      <alignment horizontal="center" vertical="center"/>
    </xf>
    <xf numFmtId="0" fontId="0" fillId="0" borderId="0" xfId="0" applyFill="1" applyBorder="1"/>
    <xf numFmtId="0" fontId="0" fillId="0" borderId="15" xfId="0" applyFill="1" applyBorder="1"/>
    <xf numFmtId="0" fontId="0" fillId="0" borderId="12" xfId="0" applyFill="1" applyBorder="1"/>
    <xf numFmtId="0" fontId="0" fillId="0" borderId="16" xfId="0" applyFill="1" applyBorder="1"/>
    <xf numFmtId="8" fontId="0" fillId="0" borderId="13" xfId="0" applyNumberFormat="1" applyFill="1" applyBorder="1"/>
    <xf numFmtId="8" fontId="0" fillId="0" borderId="15" xfId="0" applyNumberFormat="1" applyFill="1" applyBorder="1"/>
    <xf numFmtId="8" fontId="0" fillId="0" borderId="16" xfId="0" applyNumberFormat="1" applyFill="1" applyBorder="1"/>
    <xf numFmtId="0" fontId="0" fillId="0" borderId="15" xfId="0" applyBorder="1" applyAlignment="1">
      <alignment horizontal="left"/>
    </xf>
    <xf numFmtId="0" fontId="19" fillId="0" borderId="15" xfId="42" applyBorder="1"/>
    <xf numFmtId="0" fontId="0" fillId="0" borderId="18" xfId="0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dn.amphenol-cs.com/media/wysiwyg/files/documentation/datasheet/boardwiretoboard/bwb_econostik_254headers.pdf" TargetMode="External"/><Relationship Id="rId13" Type="http://schemas.openxmlformats.org/officeDocument/2006/relationships/hyperlink" Target="https://www.digikey.com/en/products/detail/richtek-usa-inc/RT9080-33GJ5/6161634" TargetMode="External"/><Relationship Id="rId3" Type="http://schemas.openxmlformats.org/officeDocument/2006/relationships/hyperlink" Target="https://www.digikey.com/en/products/detail/bosch-sensortec/BMI270/9974486" TargetMode="External"/><Relationship Id="rId7" Type="http://schemas.openxmlformats.org/officeDocument/2006/relationships/hyperlink" Target="https://www.st.com/content/ccc/resource/technical/document/datasheet/41/4f/b3/b0/12/d4/47/88/CD00000444.pdf/files/CD00000444.pdf/jcr:content/translations/en.CD00000444.pdf" TargetMode="External"/><Relationship Id="rId12" Type="http://schemas.openxmlformats.org/officeDocument/2006/relationships/hyperlink" Target="https://www.digikey.com/en/products/detail/stmicroelectronics/L7805ACV-DG/3945937" TargetMode="External"/><Relationship Id="rId2" Type="http://schemas.openxmlformats.org/officeDocument/2006/relationships/hyperlink" Target="https://www.keyelco.com/userAssets/file/K75p62.pdf" TargetMode="External"/><Relationship Id="rId1" Type="http://schemas.openxmlformats.org/officeDocument/2006/relationships/hyperlink" Target="https://www.digikey.com/en/products/detail/keystone-electronics/5000/255326?gclsrc=aw.ds&amp;gad_source=1&amp;gad_campaignid=20228387720&amp;gbraid=0AAAAADrbLljTnLYRV9jU919Y-Iv0cVWzU&amp;gclid=CjwKCAjwuobXBhBXEiwAYUaIlQBcmjiEFFdNmItx2d1bz6VC_Clg3WINZyraq0at7rUoMv-lPdmKThoCxzcQAvD_BwE" TargetMode="External"/><Relationship Id="rId6" Type="http://schemas.openxmlformats.org/officeDocument/2006/relationships/hyperlink" Target="https://ww1.microchip.com/downloads/aemDocuments/documents/MCU08/ProductDocuments/UserGuides/PIC18F57Q43-Curiosity-Nano-HW-UserGuide-DS40002186B.pdf" TargetMode="External"/><Relationship Id="rId11" Type="http://schemas.openxmlformats.org/officeDocument/2006/relationships/hyperlink" Target="https://www.digikey.com/en/products/detail/amphenol-cs-fci/10129378-902002BLF/7915925" TargetMode="External"/><Relationship Id="rId5" Type="http://schemas.openxmlformats.org/officeDocument/2006/relationships/hyperlink" Target="https://www.digikey.com/en/products/detail/microchip-technology/DM164150/11586705?gclsrc=aw.ds&amp;gad_source=1&amp;gad_campaignid=20790518593&amp;gbraid=0AAAAADrbLlifHS8-WFZXEyShCtfTWgsS-&amp;gclid=CjwKCAjwuobXBhBXEiwAYUaIlTa5KSn0NnAoCqqsKbkjQRk1nyFnyac5ujesIEPdxGB7J9zXofqFyRoC36gQAvD_BwE" TargetMode="External"/><Relationship Id="rId10" Type="http://schemas.openxmlformats.org/officeDocument/2006/relationships/hyperlink" Target="https://app.adam-tech.com/products/download/data_sheet/203327/msc-g-data-sheet.pdf" TargetMode="External"/><Relationship Id="rId4" Type="http://schemas.openxmlformats.org/officeDocument/2006/relationships/hyperlink" Target="https://www.bosch-sensortec.com/media/boschsensortec/downloads/datasheets/bst-bmi270-ds000.pdf" TargetMode="External"/><Relationship Id="rId9" Type="http://schemas.openxmlformats.org/officeDocument/2006/relationships/hyperlink" Target="https://www.digikey.com/en/products/detail/adam-tech/MSC-G/9830571?gclsrc=aw.ds&amp;gad_source=1&amp;gad_campaignid=17336967819&amp;gbraid=0AAAAADrbLliur0_5p2M3TOVaEswouErg3&amp;gclid=CjwKCAjwuobXBhBXEiwAYUaIlQrF7bW1KlQtOulqE6ip9L2mSHQjmGrp1WV_az1aB3RzKAPRu9aqtRoCCxAQAvD_BwE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961F6-223F-46C7-8C06-5A10B7691970}">
  <dimension ref="A1:I28"/>
  <sheetViews>
    <sheetView tabSelected="1" workbookViewId="0">
      <selection activeCell="J42" sqref="J42"/>
    </sheetView>
  </sheetViews>
  <sheetFormatPr defaultRowHeight="14.25" x14ac:dyDescent="0.45"/>
  <cols>
    <col min="1" max="1" width="24.86328125" customWidth="1"/>
    <col min="3" max="3" width="11" customWidth="1"/>
    <col min="4" max="4" width="11.06640625" customWidth="1"/>
    <col min="5" max="5" width="19.86328125" customWidth="1"/>
    <col min="6" max="6" width="17.86328125" customWidth="1"/>
    <col min="7" max="7" width="11.6640625" customWidth="1"/>
    <col min="8" max="8" width="14.06640625" customWidth="1"/>
    <col min="9" max="9" width="19.06640625" customWidth="1"/>
    <col min="10" max="10" width="9.06640625" customWidth="1"/>
  </cols>
  <sheetData>
    <row r="1" spans="1:9" ht="37.9" customHeight="1" thickBot="1" x14ac:dyDescent="0.5">
      <c r="A1" s="4" t="s">
        <v>21</v>
      </c>
      <c r="B1" s="4" t="s">
        <v>0</v>
      </c>
      <c r="C1" s="7" t="s">
        <v>22</v>
      </c>
      <c r="D1" s="4" t="s">
        <v>23</v>
      </c>
      <c r="E1" s="13" t="s">
        <v>24</v>
      </c>
      <c r="F1" s="4" t="s">
        <v>25</v>
      </c>
      <c r="G1" s="4" t="s">
        <v>26</v>
      </c>
      <c r="H1" s="4" t="s">
        <v>27</v>
      </c>
      <c r="I1" s="4" t="s">
        <v>28</v>
      </c>
    </row>
    <row r="2" spans="1:9" x14ac:dyDescent="0.45">
      <c r="A2" s="3" t="s">
        <v>31</v>
      </c>
      <c r="B2" s="3">
        <v>1</v>
      </c>
      <c r="C2" s="18">
        <v>0</v>
      </c>
      <c r="D2" s="8">
        <f>B2*C2</f>
        <v>0</v>
      </c>
      <c r="E2" s="12" t="s">
        <v>54</v>
      </c>
      <c r="F2" s="3" t="s">
        <v>53</v>
      </c>
      <c r="G2" s="3" t="s">
        <v>52</v>
      </c>
      <c r="H2" s="3" t="s">
        <v>53</v>
      </c>
      <c r="I2" s="1" t="s">
        <v>1</v>
      </c>
    </row>
    <row r="3" spans="1:9" x14ac:dyDescent="0.45">
      <c r="A3" s="6" t="s">
        <v>30</v>
      </c>
      <c r="B3" s="6">
        <v>1</v>
      </c>
      <c r="C3" s="19">
        <v>0</v>
      </c>
      <c r="D3" s="9">
        <f t="shared" ref="D3:D25" si="0">B3*C3</f>
        <v>0</v>
      </c>
      <c r="E3" s="5" t="s">
        <v>54</v>
      </c>
      <c r="F3" s="6" t="s">
        <v>53</v>
      </c>
      <c r="G3" s="6" t="s">
        <v>52</v>
      </c>
      <c r="H3" s="6" t="s">
        <v>53</v>
      </c>
      <c r="I3" s="2" t="s">
        <v>2</v>
      </c>
    </row>
    <row r="4" spans="1:9" x14ac:dyDescent="0.45">
      <c r="A4" s="6" t="s">
        <v>29</v>
      </c>
      <c r="B4" s="6">
        <v>2</v>
      </c>
      <c r="C4" s="19">
        <v>0</v>
      </c>
      <c r="D4" s="9">
        <f t="shared" si="0"/>
        <v>0</v>
      </c>
      <c r="E4" s="5" t="s">
        <v>54</v>
      </c>
      <c r="F4" s="6" t="s">
        <v>53</v>
      </c>
      <c r="G4" s="6" t="s">
        <v>52</v>
      </c>
      <c r="H4" s="6" t="s">
        <v>53</v>
      </c>
      <c r="I4" s="2" t="s">
        <v>43</v>
      </c>
    </row>
    <row r="5" spans="1:9" x14ac:dyDescent="0.45">
      <c r="A5" s="6" t="s">
        <v>32</v>
      </c>
      <c r="B5" s="6">
        <v>2</v>
      </c>
      <c r="C5" s="19">
        <v>0</v>
      </c>
      <c r="D5" s="9">
        <f t="shared" si="0"/>
        <v>0</v>
      </c>
      <c r="E5" s="5" t="s">
        <v>54</v>
      </c>
      <c r="F5" s="6" t="s">
        <v>53</v>
      </c>
      <c r="G5" s="6" t="s">
        <v>52</v>
      </c>
      <c r="H5" s="6" t="s">
        <v>53</v>
      </c>
      <c r="I5" s="2" t="s">
        <v>44</v>
      </c>
    </row>
    <row r="6" spans="1:9" x14ac:dyDescent="0.45">
      <c r="A6" s="6" t="s">
        <v>32</v>
      </c>
      <c r="B6" s="6">
        <v>2</v>
      </c>
      <c r="C6" s="19">
        <v>0</v>
      </c>
      <c r="D6" s="9">
        <f t="shared" si="0"/>
        <v>0</v>
      </c>
      <c r="E6" s="5" t="s">
        <v>54</v>
      </c>
      <c r="F6" s="6" t="s">
        <v>53</v>
      </c>
      <c r="G6" s="6" t="s">
        <v>52</v>
      </c>
      <c r="H6" s="6" t="s">
        <v>53</v>
      </c>
      <c r="I6" s="2" t="s">
        <v>45</v>
      </c>
    </row>
    <row r="7" spans="1:9" x14ac:dyDescent="0.45">
      <c r="A7" s="6" t="s">
        <v>33</v>
      </c>
      <c r="B7" s="6">
        <v>1</v>
      </c>
      <c r="C7" s="19">
        <v>0</v>
      </c>
      <c r="D7" s="9">
        <f t="shared" si="0"/>
        <v>0</v>
      </c>
      <c r="E7" s="5" t="s">
        <v>54</v>
      </c>
      <c r="F7" s="6" t="s">
        <v>53</v>
      </c>
      <c r="G7" s="6" t="s">
        <v>52</v>
      </c>
      <c r="H7" s="6" t="s">
        <v>53</v>
      </c>
      <c r="I7" s="2" t="s">
        <v>3</v>
      </c>
    </row>
    <row r="8" spans="1:9" x14ac:dyDescent="0.45">
      <c r="A8" s="6" t="s">
        <v>34</v>
      </c>
      <c r="B8" s="6">
        <v>1</v>
      </c>
      <c r="C8" s="19">
        <v>0</v>
      </c>
      <c r="D8" s="9">
        <f t="shared" si="0"/>
        <v>0</v>
      </c>
      <c r="E8" s="5" t="s">
        <v>54</v>
      </c>
      <c r="F8" s="6" t="s">
        <v>53</v>
      </c>
      <c r="G8" s="6" t="s">
        <v>52</v>
      </c>
      <c r="H8" s="6" t="s">
        <v>53</v>
      </c>
      <c r="I8" s="2" t="s">
        <v>4</v>
      </c>
    </row>
    <row r="9" spans="1:9" x14ac:dyDescent="0.45">
      <c r="A9" s="6" t="s">
        <v>69</v>
      </c>
      <c r="B9" s="6">
        <v>1</v>
      </c>
      <c r="C9" s="19">
        <v>0</v>
      </c>
      <c r="D9" s="9">
        <f t="shared" si="0"/>
        <v>0</v>
      </c>
      <c r="E9" s="5" t="s">
        <v>54</v>
      </c>
      <c r="F9" s="15" t="s">
        <v>53</v>
      </c>
      <c r="G9" s="6" t="s">
        <v>52</v>
      </c>
      <c r="H9" s="6" t="s">
        <v>53</v>
      </c>
      <c r="I9" s="2" t="s">
        <v>4</v>
      </c>
    </row>
    <row r="10" spans="1:9" x14ac:dyDescent="0.45">
      <c r="A10" s="6" t="s">
        <v>6</v>
      </c>
      <c r="B10" s="6">
        <v>1</v>
      </c>
      <c r="C10" s="19">
        <v>0</v>
      </c>
      <c r="D10" s="9">
        <f t="shared" si="0"/>
        <v>0</v>
      </c>
      <c r="E10" s="5" t="s">
        <v>54</v>
      </c>
      <c r="F10" s="6" t="s">
        <v>53</v>
      </c>
      <c r="G10" s="6" t="s">
        <v>52</v>
      </c>
      <c r="H10" s="6" t="s">
        <v>53</v>
      </c>
      <c r="I10" s="2" t="s">
        <v>5</v>
      </c>
    </row>
    <row r="11" spans="1:9" x14ac:dyDescent="0.45">
      <c r="A11" s="6" t="s">
        <v>57</v>
      </c>
      <c r="B11" s="6">
        <v>1</v>
      </c>
      <c r="C11" s="19">
        <v>0</v>
      </c>
      <c r="D11" s="9">
        <f t="shared" si="0"/>
        <v>0</v>
      </c>
      <c r="E11" s="5" t="s">
        <v>54</v>
      </c>
      <c r="F11" s="6" t="s">
        <v>53</v>
      </c>
      <c r="G11" s="15" t="s">
        <v>52</v>
      </c>
      <c r="H11" s="15" t="s">
        <v>53</v>
      </c>
      <c r="I11" s="2" t="s">
        <v>7</v>
      </c>
    </row>
    <row r="12" spans="1:9" x14ac:dyDescent="0.45">
      <c r="A12" s="6" t="s">
        <v>58</v>
      </c>
      <c r="B12" s="6">
        <v>1</v>
      </c>
      <c r="C12" s="19">
        <v>0</v>
      </c>
      <c r="D12" s="9">
        <f t="shared" si="0"/>
        <v>0</v>
      </c>
      <c r="E12" s="5" t="s">
        <v>54</v>
      </c>
      <c r="F12" s="6" t="s">
        <v>53</v>
      </c>
      <c r="G12" s="15" t="s">
        <v>52</v>
      </c>
      <c r="H12" s="15" t="s">
        <v>53</v>
      </c>
      <c r="I12" s="2" t="s">
        <v>8</v>
      </c>
    </row>
    <row r="13" spans="1:9" x14ac:dyDescent="0.45">
      <c r="A13" s="6" t="s">
        <v>62</v>
      </c>
      <c r="B13" s="6">
        <v>1</v>
      </c>
      <c r="C13" s="19">
        <v>0.19</v>
      </c>
      <c r="D13" s="9">
        <f t="shared" si="0"/>
        <v>0.19</v>
      </c>
      <c r="E13" s="5" t="s">
        <v>63</v>
      </c>
      <c r="F13" s="6" t="s">
        <v>64</v>
      </c>
      <c r="G13" s="22" t="s">
        <v>66</v>
      </c>
      <c r="H13" s="22" t="s">
        <v>67</v>
      </c>
      <c r="I13" s="2" t="s">
        <v>9</v>
      </c>
    </row>
    <row r="14" spans="1:9" x14ac:dyDescent="0.45">
      <c r="A14" s="6" t="s">
        <v>61</v>
      </c>
      <c r="B14" s="6">
        <v>1</v>
      </c>
      <c r="C14" s="19">
        <v>0.15</v>
      </c>
      <c r="D14" s="9">
        <f t="shared" si="0"/>
        <v>0.15</v>
      </c>
      <c r="E14" s="5" t="s">
        <v>59</v>
      </c>
      <c r="F14" s="6" t="s">
        <v>65</v>
      </c>
      <c r="G14" s="22" t="s">
        <v>66</v>
      </c>
      <c r="H14" s="22" t="s">
        <v>67</v>
      </c>
      <c r="I14" s="2" t="s">
        <v>9</v>
      </c>
    </row>
    <row r="15" spans="1:9" x14ac:dyDescent="0.45">
      <c r="A15" s="6" t="s">
        <v>35</v>
      </c>
      <c r="B15" s="6">
        <v>2</v>
      </c>
      <c r="C15" s="19">
        <v>0</v>
      </c>
      <c r="D15" s="9">
        <f t="shared" si="0"/>
        <v>0</v>
      </c>
      <c r="E15" s="5" t="s">
        <v>54</v>
      </c>
      <c r="F15" s="6" t="s">
        <v>53</v>
      </c>
      <c r="G15" s="6" t="s">
        <v>52</v>
      </c>
      <c r="H15" s="6" t="s">
        <v>53</v>
      </c>
      <c r="I15" s="2" t="s">
        <v>46</v>
      </c>
    </row>
    <row r="16" spans="1:9" x14ac:dyDescent="0.45">
      <c r="A16" s="6" t="s">
        <v>36</v>
      </c>
      <c r="B16" s="6">
        <v>1</v>
      </c>
      <c r="C16" s="19">
        <v>0</v>
      </c>
      <c r="D16" s="9">
        <f t="shared" si="0"/>
        <v>0</v>
      </c>
      <c r="E16" s="5" t="s">
        <v>54</v>
      </c>
      <c r="F16" s="6" t="s">
        <v>53</v>
      </c>
      <c r="G16" s="6" t="s">
        <v>52</v>
      </c>
      <c r="H16" s="6" t="s">
        <v>53</v>
      </c>
      <c r="I16" s="2" t="s">
        <v>10</v>
      </c>
    </row>
    <row r="17" spans="1:9" x14ac:dyDescent="0.45">
      <c r="A17" s="6" t="s">
        <v>37</v>
      </c>
      <c r="B17" s="6">
        <v>1</v>
      </c>
      <c r="C17" s="19">
        <v>0</v>
      </c>
      <c r="D17" s="9">
        <f t="shared" si="0"/>
        <v>0</v>
      </c>
      <c r="E17" s="5" t="s">
        <v>54</v>
      </c>
      <c r="F17" s="6" t="s">
        <v>53</v>
      </c>
      <c r="G17" s="6" t="s">
        <v>52</v>
      </c>
      <c r="H17" s="6" t="s">
        <v>53</v>
      </c>
      <c r="I17" s="2" t="s">
        <v>11</v>
      </c>
    </row>
    <row r="18" spans="1:9" x14ac:dyDescent="0.45">
      <c r="A18" s="6" t="s">
        <v>38</v>
      </c>
      <c r="B18" s="6">
        <v>1</v>
      </c>
      <c r="C18" s="19">
        <v>0</v>
      </c>
      <c r="D18" s="9">
        <f t="shared" si="0"/>
        <v>0</v>
      </c>
      <c r="E18" s="5" t="s">
        <v>54</v>
      </c>
      <c r="F18" s="6" t="s">
        <v>53</v>
      </c>
      <c r="G18" s="6" t="s">
        <v>52</v>
      </c>
      <c r="H18" s="6" t="s">
        <v>53</v>
      </c>
      <c r="I18" s="2" t="s">
        <v>12</v>
      </c>
    </row>
    <row r="19" spans="1:9" x14ac:dyDescent="0.45">
      <c r="A19" s="6" t="s">
        <v>39</v>
      </c>
      <c r="B19" s="6">
        <v>5</v>
      </c>
      <c r="C19" s="19">
        <v>0.35</v>
      </c>
      <c r="D19" s="9">
        <f t="shared" si="0"/>
        <v>1.75</v>
      </c>
      <c r="E19" s="5" t="s">
        <v>55</v>
      </c>
      <c r="F19" s="21">
        <v>5000</v>
      </c>
      <c r="G19" s="22" t="s">
        <v>66</v>
      </c>
      <c r="H19" s="22" t="s">
        <v>67</v>
      </c>
      <c r="I19" s="2" t="s">
        <v>47</v>
      </c>
    </row>
    <row r="20" spans="1:9" x14ac:dyDescent="0.45">
      <c r="A20" s="6" t="s">
        <v>41</v>
      </c>
      <c r="B20" s="6">
        <v>1</v>
      </c>
      <c r="C20" s="19">
        <v>1.21</v>
      </c>
      <c r="D20" s="9">
        <f t="shared" si="0"/>
        <v>1.21</v>
      </c>
      <c r="E20" s="5" t="s">
        <v>51</v>
      </c>
      <c r="F20" s="6" t="s">
        <v>17</v>
      </c>
      <c r="G20" s="22" t="s">
        <v>66</v>
      </c>
      <c r="H20" s="22" t="s">
        <v>67</v>
      </c>
      <c r="I20" s="2" t="s">
        <v>13</v>
      </c>
    </row>
    <row r="21" spans="1:9" x14ac:dyDescent="0.45">
      <c r="A21" s="6" t="s">
        <v>40</v>
      </c>
      <c r="B21" s="6">
        <v>1</v>
      </c>
      <c r="C21" s="19">
        <v>0.28000000000000003</v>
      </c>
      <c r="D21" s="9">
        <f t="shared" si="0"/>
        <v>0.28000000000000003</v>
      </c>
      <c r="E21" s="5" t="s">
        <v>50</v>
      </c>
      <c r="F21" s="6" t="s">
        <v>18</v>
      </c>
      <c r="G21" s="22" t="s">
        <v>66</v>
      </c>
      <c r="H21" s="6" t="s">
        <v>68</v>
      </c>
      <c r="I21" s="2" t="s">
        <v>14</v>
      </c>
    </row>
    <row r="22" spans="1:9" x14ac:dyDescent="0.45">
      <c r="A22" s="6" t="s">
        <v>19</v>
      </c>
      <c r="B22" s="6">
        <v>1</v>
      </c>
      <c r="C22" s="19">
        <v>0</v>
      </c>
      <c r="D22" s="9">
        <f t="shared" si="0"/>
        <v>0</v>
      </c>
      <c r="E22" s="5" t="s">
        <v>48</v>
      </c>
      <c r="F22" s="6" t="s">
        <v>56</v>
      </c>
      <c r="G22" s="22" t="s">
        <v>66</v>
      </c>
      <c r="H22" s="22" t="s">
        <v>67</v>
      </c>
      <c r="I22" s="2" t="s">
        <v>15</v>
      </c>
    </row>
    <row r="23" spans="1:9" x14ac:dyDescent="0.45">
      <c r="A23" s="6" t="s">
        <v>60</v>
      </c>
      <c r="B23" s="6">
        <v>2</v>
      </c>
      <c r="C23" s="19">
        <v>0</v>
      </c>
      <c r="D23" s="9">
        <f t="shared" si="0"/>
        <v>0</v>
      </c>
      <c r="E23" s="5" t="s">
        <v>54</v>
      </c>
      <c r="F23" s="21" t="s">
        <v>53</v>
      </c>
      <c r="G23" s="15" t="s">
        <v>52</v>
      </c>
      <c r="H23" s="15" t="s">
        <v>53</v>
      </c>
      <c r="I23" s="2" t="s">
        <v>15</v>
      </c>
    </row>
    <row r="24" spans="1:9" x14ac:dyDescent="0.45">
      <c r="A24" s="6" t="s">
        <v>42</v>
      </c>
      <c r="B24" s="6">
        <v>1</v>
      </c>
      <c r="C24" s="19">
        <v>4.2300000000000004</v>
      </c>
      <c r="D24" s="9">
        <f t="shared" si="0"/>
        <v>4.2300000000000004</v>
      </c>
      <c r="E24" s="5" t="s">
        <v>49</v>
      </c>
      <c r="F24" s="6" t="s">
        <v>20</v>
      </c>
      <c r="G24" s="22" t="s">
        <v>66</v>
      </c>
      <c r="H24" s="22" t="s">
        <v>67</v>
      </c>
      <c r="I24" s="2" t="s">
        <v>16</v>
      </c>
    </row>
    <row r="25" spans="1:9" ht="14.65" thickBot="1" x14ac:dyDescent="0.5">
      <c r="A25" s="17" t="s">
        <v>70</v>
      </c>
      <c r="B25" s="17">
        <v>1</v>
      </c>
      <c r="C25" s="20">
        <v>0</v>
      </c>
      <c r="D25" s="10">
        <f t="shared" si="0"/>
        <v>0</v>
      </c>
      <c r="E25" s="23" t="s">
        <v>54</v>
      </c>
      <c r="F25" s="17" t="s">
        <v>53</v>
      </c>
      <c r="G25" s="17" t="s">
        <v>52</v>
      </c>
      <c r="H25" s="17" t="s">
        <v>53</v>
      </c>
      <c r="I25" s="16" t="s">
        <v>5</v>
      </c>
    </row>
    <row r="26" spans="1:9" x14ac:dyDescent="0.45">
      <c r="C26" s="5"/>
      <c r="D26" s="14">
        <f>SUM(D2:D25)</f>
        <v>7.8100000000000005</v>
      </c>
      <c r="E26" s="5"/>
      <c r="G26" s="5"/>
      <c r="H26" s="5"/>
    </row>
    <row r="27" spans="1:9" x14ac:dyDescent="0.45">
      <c r="C27" s="5"/>
      <c r="D27" s="11"/>
      <c r="H27" s="5"/>
    </row>
    <row r="28" spans="1:9" x14ac:dyDescent="0.45">
      <c r="G28" s="5"/>
    </row>
  </sheetData>
  <phoneticPr fontId="18" type="noConversion"/>
  <hyperlinks>
    <hyperlink ref="G19" r:id="rId1" xr:uid="{6055FFDC-8A0C-477B-8E5E-0275FC246005}"/>
    <hyperlink ref="H19" r:id="rId2" xr:uid="{4A327799-6A6B-44D8-AB5A-F20AB957D56A}"/>
    <hyperlink ref="G24" r:id="rId3" xr:uid="{4D1F8DBF-364C-4F3B-9F3D-35E233EC1A3D}"/>
    <hyperlink ref="H24" r:id="rId4" xr:uid="{1DCC4D2B-A10C-48C2-BCB5-FDFE4171F449}"/>
    <hyperlink ref="G22" r:id="rId5" xr:uid="{12D0008A-827D-455C-BC85-C052C1C35304}"/>
    <hyperlink ref="H22" r:id="rId6" xr:uid="{7F0434C6-3C63-4A20-BD9C-795265E706A3}"/>
    <hyperlink ref="H20" r:id="rId7" xr:uid="{58CE9C75-D29A-47E4-AC4D-E61D24680556}"/>
    <hyperlink ref="H13" r:id="rId8" xr:uid="{9BB3AF39-3BF7-4480-9CB9-16B7232ECA99}"/>
    <hyperlink ref="G14" r:id="rId9" xr:uid="{FFDB1194-A9B4-41D1-9D04-EB2148D963A9}"/>
    <hyperlink ref="H14" r:id="rId10" xr:uid="{0F7D947C-AA6D-4811-B00F-80BA2356650D}"/>
    <hyperlink ref="G13" r:id="rId11" xr:uid="{B95F0FA0-6B20-4542-AEA4-48EE50272855}"/>
    <hyperlink ref="G20" r:id="rId12" xr:uid="{38F8D186-10A7-4910-BC5D-8A0612274A22}"/>
    <hyperlink ref="G21" r:id="rId13" xr:uid="{F0712A33-FABC-466D-86E1-ED9BF3AED430}"/>
  </hyperlinks>
  <pageMargins left="0.7" right="0.7" top="0.75" bottom="0.75" header="0.3" footer="0.3"/>
  <pageSetup orientation="portrait"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Subsystem Design 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Logan Maelstrom</cp:lastModifiedBy>
  <cp:lastPrinted>2026-10-30T18:48:54Z</cp:lastPrinted>
  <dcterms:created xsi:type="dcterms:W3CDTF">2026-10-29T03:07:34Z</dcterms:created>
  <dcterms:modified xsi:type="dcterms:W3CDTF">2026-10-30T18:49:02Z</dcterms:modified>
</cp:coreProperties>
</file>