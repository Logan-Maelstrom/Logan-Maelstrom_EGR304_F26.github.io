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gan\Downloads\"/>
    </mc:Choice>
  </mc:AlternateContent>
  <xr:revisionPtr revIDLastSave="0" documentId="8_{8C9118E2-7A89-415D-95E0-E774F42ECB3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Power Budget" sheetId="1" r:id="rId1"/>
  </sheets>
  <definedNames>
    <definedName name="_xlnm.Print_Area" localSheetId="0">'Power Budget'!$A$1:$H$35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3" i="1" l="1"/>
  <c r="G27" i="1"/>
  <c r="G18" i="1"/>
  <c r="G13" i="1"/>
  <c r="G10" i="1"/>
  <c r="G9" i="1"/>
  <c r="G34" i="1" l="1"/>
  <c r="G14" i="1"/>
  <c r="G16" i="1" s="1"/>
  <c r="G19" i="1" s="1"/>
  <c r="G23" i="1"/>
  <c r="G25" i="1" s="1"/>
  <c r="G2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" authorId="0" shapeId="0" xr:uid="{00000000-0006-0000-0000-000001000000}">
      <text>
        <r>
          <rPr>
            <sz val="12"/>
            <color rgb="FF000000"/>
            <rFont val="Calibri"/>
          </rPr>
          <t>For inductive loads (e.g., motors, solenoids) this is often called "stall current" on the data sheet</t>
        </r>
      </text>
    </comment>
  </commentList>
</comments>
</file>

<file path=xl/sharedStrings.xml><?xml version="1.0" encoding="utf-8"?>
<sst xmlns="http://schemas.openxmlformats.org/spreadsheetml/2006/main" count="93" uniqueCount="52">
  <si>
    <t>Team Number:</t>
  </si>
  <si>
    <t>Project Name:</t>
  </si>
  <si>
    <t>Version:</t>
  </si>
  <si>
    <t>A. List ALL major components (active devices, integrated circuits, etc.) except for power sources, voltage regulators, resistors, capacitors, or passive elements</t>
  </si>
  <si>
    <t>All Major Components</t>
  </si>
  <si>
    <t>Component Name</t>
  </si>
  <si>
    <t>Part Number</t>
  </si>
  <si>
    <t>Supply
Voltage
Range</t>
  </si>
  <si>
    <t>Absolute
Maximum
Current (mA)</t>
  </si>
  <si>
    <t>Total
Current
(mA)</t>
  </si>
  <si>
    <t>Unit</t>
  </si>
  <si>
    <t>mA</t>
  </si>
  <si>
    <t xml:space="preserve">Subtotal </t>
  </si>
  <si>
    <t>Safety Margin</t>
  </si>
  <si>
    <t xml:space="preserve"> +5V Power Rail</t>
  </si>
  <si>
    <t>Total Current Required on +5V Rail</t>
  </si>
  <si>
    <t xml:space="preserve"> +5V Regulator</t>
  </si>
  <si>
    <t>Total Remaining Current Available on +5V Rail</t>
  </si>
  <si>
    <t xml:space="preserve"> +3.3V Power Rail</t>
  </si>
  <si>
    <t>Total Current Required on +3.3V Rail</t>
  </si>
  <si>
    <t>Total Remaining Current Available on 3.3V Rail</t>
  </si>
  <si>
    <t>Output Voltage</t>
  </si>
  <si>
    <t>Total Remaining Current Available on External Power Source 1</t>
  </si>
  <si>
    <t>Supply Voltage Range</t>
  </si>
  <si>
    <t>Qty.</t>
  </si>
  <si>
    <t>Regulator</t>
  </si>
  <si>
    <t>Total Current
(mA)</t>
  </si>
  <si>
    <t>Absolute Maximum Current (mA)</t>
  </si>
  <si>
    <t>Drowsy Driver Alarm</t>
  </si>
  <si>
    <r>
      <t>Power Budget</t>
    </r>
    <r>
      <rPr>
        <b/>
        <sz val="18"/>
        <color rgb="FF000000"/>
        <rFont val="Calibri"/>
        <family val="2"/>
      </rPr>
      <t xml:space="preserve"> -</t>
    </r>
    <r>
      <rPr>
        <b/>
        <sz val="24"/>
        <color rgb="FF000000"/>
        <rFont val="Calibri"/>
        <family val="2"/>
      </rPr>
      <t xml:space="preserve"> </t>
    </r>
    <r>
      <rPr>
        <b/>
        <sz val="18"/>
        <color rgb="FF000000"/>
        <rFont val="Calibri"/>
        <family val="2"/>
      </rPr>
      <t>Logan Maelstrom (Individual Subsystem)</t>
    </r>
  </si>
  <si>
    <t>Name:</t>
  </si>
  <si>
    <t>Logan Maelstrom</t>
  </si>
  <si>
    <t>PIC18F57Q43 Curiosity Nano</t>
  </si>
  <si>
    <t>BMI270</t>
  </si>
  <si>
    <t>DM164150</t>
  </si>
  <si>
    <t>BMI270 6-Axis IMU</t>
  </si>
  <si>
    <t>L7805ACV-DG</t>
  </si>
  <si>
    <t>7V - 35V</t>
  </si>
  <si>
    <t xml:space="preserve"> 1.8V - 5.5V</t>
  </si>
  <si>
    <t xml:space="preserve"> 1.7V - 3.6V</t>
  </si>
  <si>
    <t xml:space="preserve"> +3.3V LDO Regulator</t>
  </si>
  <si>
    <t>RT9080-33GJ5</t>
  </si>
  <si>
    <t xml:space="preserve"> 1.2V - 5.5V</t>
  </si>
  <si>
    <t>External Power Source</t>
  </si>
  <si>
    <t>Power Rails Connected to External Power Source</t>
  </si>
  <si>
    <t>9V External Wall Supply</t>
  </si>
  <si>
    <t>Power Source Selection</t>
  </si>
  <si>
    <t>100–240 VAC</t>
  </si>
  <si>
    <t>9 VDC</t>
  </si>
  <si>
    <t xml:space="preserve"> +5V regulator</t>
  </si>
  <si>
    <t xml:space="preserve"> 7V - 35V</t>
  </si>
  <si>
    <t>Model 0930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</si>
</sst>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rgb="FF000000"/>
      <name val="Calibri"/>
    </font>
    <font>
      <b/>
      <sz val="24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name val="Calibri"/>
      <family val="2"/>
    </font>
    <font>
      <b/>
      <i/>
      <sz val="12"/>
      <color rgb="FF000000"/>
      <name val="Calibri"/>
      <family val="2"/>
    </font>
    <font>
      <b/>
      <sz val="18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EECE1"/>
        <bgColor rgb="FFEEECE1"/>
      </patternFill>
    </fill>
    <fill>
      <patternFill patternType="solid">
        <fgColor theme="8" tint="0.59999389629810485"/>
        <bgColor indexed="64"/>
      </patternFill>
    </fill>
  </fills>
  <borders count="4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2" fillId="0" borderId="2" xfId="0" applyFont="1" applyBorder="1"/>
    <xf numFmtId="0" fontId="2" fillId="0" borderId="0" xfId="0" applyFont="1" applyAlignment="1">
      <alignment horizontal="center"/>
    </xf>
    <xf numFmtId="0" fontId="5" fillId="0" borderId="2" xfId="0" applyFont="1" applyBorder="1"/>
    <xf numFmtId="0" fontId="5" fillId="0" borderId="2" xfId="0" applyFont="1" applyBorder="1" applyAlignment="1">
      <alignment horizontal="left"/>
    </xf>
    <xf numFmtId="0" fontId="3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right"/>
    </xf>
    <xf numFmtId="0" fontId="4" fillId="0" borderId="4" xfId="0" applyFont="1" applyBorder="1"/>
    <xf numFmtId="0" fontId="3" fillId="0" borderId="4" xfId="0" applyFont="1" applyBorder="1"/>
    <xf numFmtId="0" fontId="2" fillId="0" borderId="6" xfId="0" applyFont="1" applyBorder="1"/>
    <xf numFmtId="0" fontId="2" fillId="0" borderId="6" xfId="0" applyFont="1" applyBorder="1" applyAlignment="1">
      <alignment horizontal="center"/>
    </xf>
    <xf numFmtId="0" fontId="2" fillId="0" borderId="8" xfId="0" applyFont="1" applyBorder="1"/>
    <xf numFmtId="0" fontId="2" fillId="0" borderId="8" xfId="0" applyFont="1" applyBorder="1" applyAlignment="1">
      <alignment horizont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 wrapText="1"/>
    </xf>
    <xf numFmtId="0" fontId="2" fillId="0" borderId="4" xfId="0" applyFont="1" applyBorder="1"/>
    <xf numFmtId="0" fontId="3" fillId="0" borderId="4" xfId="0" applyFont="1" applyBorder="1" applyAlignment="1">
      <alignment horizontal="center"/>
    </xf>
    <xf numFmtId="0" fontId="2" fillId="0" borderId="13" xfId="0" applyFont="1" applyBorder="1"/>
    <xf numFmtId="0" fontId="2" fillId="0" borderId="14" xfId="0" applyFont="1" applyBorder="1"/>
    <xf numFmtId="0" fontId="2" fillId="0" borderId="14" xfId="0" applyFont="1" applyBorder="1" applyAlignment="1">
      <alignment horizontal="center"/>
    </xf>
    <xf numFmtId="0" fontId="2" fillId="0" borderId="16" xfId="0" applyFont="1" applyBorder="1"/>
    <xf numFmtId="0" fontId="2" fillId="0" borderId="15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9" fontId="2" fillId="0" borderId="18" xfId="0" applyNumberFormat="1" applyFont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5" fillId="0" borderId="4" xfId="0" applyFont="1" applyBorder="1" applyAlignment="1">
      <alignment horizontal="left"/>
    </xf>
    <xf numFmtId="49" fontId="5" fillId="0" borderId="4" xfId="0" applyNumberFormat="1" applyFont="1" applyBorder="1" applyAlignment="1">
      <alignment horizontal="right"/>
    </xf>
    <xf numFmtId="0" fontId="2" fillId="0" borderId="6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5" fillId="0" borderId="18" xfId="0" applyFont="1" applyBorder="1" applyAlignment="1">
      <alignment horizontal="left"/>
    </xf>
    <xf numFmtId="0" fontId="5" fillId="3" borderId="10" xfId="0" applyFont="1" applyFill="1" applyBorder="1" applyAlignment="1">
      <alignment vertical="center"/>
    </xf>
    <xf numFmtId="0" fontId="2" fillId="0" borderId="8" xfId="0" applyFont="1" applyBorder="1" applyAlignment="1">
      <alignment horizontal="left"/>
    </xf>
    <xf numFmtId="0" fontId="5" fillId="3" borderId="20" xfId="0" applyFont="1" applyFill="1" applyBorder="1" applyAlignment="1">
      <alignment vertical="center"/>
    </xf>
    <xf numFmtId="0" fontId="3" fillId="3" borderId="21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 wrapText="1"/>
    </xf>
    <xf numFmtId="0" fontId="3" fillId="3" borderId="22" xfId="0" applyFont="1" applyFill="1" applyBorder="1" applyAlignment="1">
      <alignment horizontal="center" vertical="center"/>
    </xf>
    <xf numFmtId="0" fontId="3" fillId="0" borderId="23" xfId="0" applyFont="1" applyBorder="1" applyAlignment="1">
      <alignment horizontal="left"/>
    </xf>
    <xf numFmtId="0" fontId="2" fillId="0" borderId="24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12" xfId="0" applyFont="1" applyBorder="1"/>
    <xf numFmtId="0" fontId="2" fillId="0" borderId="36" xfId="0" applyFont="1" applyBorder="1"/>
    <xf numFmtId="0" fontId="2" fillId="0" borderId="19" xfId="0" applyFont="1" applyBorder="1"/>
    <xf numFmtId="0" fontId="5" fillId="0" borderId="4" xfId="0" applyFont="1" applyBorder="1" applyAlignment="1">
      <alignment horizontal="left" vertical="center"/>
    </xf>
    <xf numFmtId="49" fontId="5" fillId="0" borderId="4" xfId="0" applyNumberFormat="1" applyFont="1" applyBorder="1" applyAlignment="1">
      <alignment horizontal="right" vertical="center"/>
    </xf>
    <xf numFmtId="0" fontId="4" fillId="0" borderId="4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39" xfId="0" applyFont="1" applyBorder="1" applyAlignment="1">
      <alignment horizontal="center"/>
    </xf>
    <xf numFmtId="0" fontId="3" fillId="0" borderId="40" xfId="0" applyFont="1" applyBorder="1" applyAlignment="1">
      <alignment horizontal="center"/>
    </xf>
    <xf numFmtId="0" fontId="5" fillId="0" borderId="4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2" fillId="0" borderId="18" xfId="0" applyFont="1" applyBorder="1" applyAlignment="1">
      <alignment vertical="center" wrapText="1"/>
    </xf>
    <xf numFmtId="0" fontId="2" fillId="0" borderId="18" xfId="0" applyFont="1" applyBorder="1" applyAlignment="1">
      <alignment vertical="center"/>
    </xf>
    <xf numFmtId="0" fontId="2" fillId="0" borderId="18" xfId="0" applyFont="1" applyBorder="1" applyAlignment="1">
      <alignment horizontal="center" vertical="center"/>
    </xf>
    <xf numFmtId="0" fontId="5" fillId="0" borderId="18" xfId="0" applyFont="1" applyBorder="1" applyAlignment="1">
      <alignment horizontal="left" vertical="center"/>
    </xf>
    <xf numFmtId="0" fontId="5" fillId="0" borderId="30" xfId="0" applyFont="1" applyBorder="1" applyAlignment="1">
      <alignment horizontal="right"/>
    </xf>
    <xf numFmtId="0" fontId="5" fillId="0" borderId="31" xfId="0" applyFont="1" applyBorder="1" applyAlignment="1">
      <alignment horizontal="right"/>
    </xf>
    <xf numFmtId="0" fontId="5" fillId="0" borderId="32" xfId="0" applyFont="1" applyBorder="1" applyAlignment="1">
      <alignment horizontal="right"/>
    </xf>
    <xf numFmtId="0" fontId="5" fillId="0" borderId="33" xfId="0" applyFont="1" applyBorder="1" applyAlignment="1">
      <alignment horizontal="right"/>
    </xf>
    <xf numFmtId="0" fontId="5" fillId="0" borderId="34" xfId="0" applyFont="1" applyBorder="1" applyAlignment="1">
      <alignment horizontal="right"/>
    </xf>
    <xf numFmtId="0" fontId="5" fillId="0" borderId="35" xfId="0" applyFont="1" applyBorder="1" applyAlignment="1">
      <alignment horizontal="right"/>
    </xf>
    <xf numFmtId="49" fontId="5" fillId="0" borderId="37" xfId="0" applyNumberFormat="1" applyFont="1" applyBorder="1" applyAlignment="1">
      <alignment horizontal="right"/>
    </xf>
    <xf numFmtId="49" fontId="5" fillId="0" borderId="12" xfId="0" applyNumberFormat="1" applyFont="1" applyBorder="1" applyAlignment="1">
      <alignment horizontal="right"/>
    </xf>
    <xf numFmtId="49" fontId="5" fillId="0" borderId="38" xfId="0" applyNumberFormat="1" applyFont="1" applyBorder="1" applyAlignment="1">
      <alignment horizontal="right"/>
    </xf>
    <xf numFmtId="0" fontId="5" fillId="0" borderId="8" xfId="0" applyFont="1" applyBorder="1" applyAlignment="1">
      <alignment horizontal="right"/>
    </xf>
    <xf numFmtId="0" fontId="5" fillId="0" borderId="18" xfId="0" applyFont="1" applyBorder="1" applyAlignment="1">
      <alignment horizontal="right"/>
    </xf>
    <xf numFmtId="49" fontId="5" fillId="0" borderId="25" xfId="0" applyNumberFormat="1" applyFont="1" applyBorder="1" applyAlignment="1">
      <alignment horizontal="right"/>
    </xf>
    <xf numFmtId="49" fontId="5" fillId="0" borderId="26" xfId="0" applyNumberFormat="1" applyFont="1" applyBorder="1" applyAlignment="1">
      <alignment horizontal="right"/>
    </xf>
    <xf numFmtId="49" fontId="5" fillId="0" borderId="27" xfId="0" applyNumberFormat="1" applyFont="1" applyBorder="1" applyAlignment="1">
      <alignment horizontal="right"/>
    </xf>
    <xf numFmtId="49" fontId="5" fillId="0" borderId="8" xfId="0" applyNumberFormat="1" applyFont="1" applyBorder="1" applyAlignment="1">
      <alignment horizontal="right"/>
    </xf>
    <xf numFmtId="0" fontId="1" fillId="4" borderId="0" xfId="0" applyFont="1" applyFill="1" applyAlignment="1">
      <alignment horizontal="center"/>
    </xf>
    <xf numFmtId="0" fontId="2" fillId="4" borderId="0" xfId="0" applyFont="1" applyFill="1"/>
    <xf numFmtId="0" fontId="5" fillId="2" borderId="1" xfId="0" applyFont="1" applyFill="1" applyBorder="1" applyAlignment="1">
      <alignment wrapText="1"/>
    </xf>
    <xf numFmtId="0" fontId="4" fillId="0" borderId="5" xfId="0" applyFont="1" applyBorder="1"/>
    <xf numFmtId="0" fontId="4" fillId="0" borderId="7" xfId="0" applyFont="1" applyBorder="1"/>
    <xf numFmtId="0" fontId="3" fillId="0" borderId="1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000000"/>
      </font>
      <fill>
        <patternFill patternType="solid">
          <fgColor rgb="FFF4CCCC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I35"/>
  <sheetViews>
    <sheetView tabSelected="1" workbookViewId="0">
      <selection activeCell="K33" sqref="K33"/>
    </sheetView>
  </sheetViews>
  <sheetFormatPr defaultColWidth="13.5" defaultRowHeight="15.75" customHeight="1" x14ac:dyDescent="0.5"/>
  <cols>
    <col min="1" max="1" width="22.5" style="1" customWidth="1"/>
    <col min="2" max="2" width="20.125" style="1" customWidth="1"/>
    <col min="3" max="3" width="15.75" style="1" customWidth="1"/>
    <col min="4" max="4" width="11.5" style="1" customWidth="1"/>
    <col min="5" max="5" width="7.25" style="1" customWidth="1"/>
    <col min="6" max="6" width="12.375" style="5" customWidth="1"/>
    <col min="7" max="7" width="11.375" style="5" customWidth="1"/>
    <col min="8" max="8" width="9" style="5" customWidth="1"/>
    <col min="9" max="16384" width="13.5" style="1"/>
  </cols>
  <sheetData>
    <row r="1" spans="1:8" ht="30" customHeight="1" x14ac:dyDescent="0.9">
      <c r="A1" s="80" t="s">
        <v>29</v>
      </c>
      <c r="B1" s="81"/>
      <c r="C1" s="81"/>
      <c r="D1" s="81"/>
      <c r="E1" s="81"/>
      <c r="F1" s="81"/>
      <c r="G1" s="81"/>
      <c r="H1" s="81"/>
    </row>
    <row r="2" spans="1:8" ht="15" customHeight="1" x14ac:dyDescent="0.5">
      <c r="A2" s="10" t="s">
        <v>0</v>
      </c>
      <c r="B2" s="11">
        <v>104</v>
      </c>
      <c r="D2" s="2"/>
      <c r="E2" s="2"/>
    </row>
    <row r="3" spans="1:8" ht="15" customHeight="1" x14ac:dyDescent="0.5">
      <c r="A3" s="10" t="s">
        <v>1</v>
      </c>
      <c r="B3" s="12" t="s">
        <v>28</v>
      </c>
      <c r="C3" s="3"/>
      <c r="D3" s="2"/>
      <c r="E3" s="2"/>
      <c r="F3" s="2"/>
      <c r="G3" s="2"/>
      <c r="H3" s="2"/>
    </row>
    <row r="4" spans="1:8" ht="15" customHeight="1" x14ac:dyDescent="0.5">
      <c r="A4" s="10" t="s">
        <v>30</v>
      </c>
      <c r="B4" s="12" t="s">
        <v>31</v>
      </c>
      <c r="C4" s="3"/>
      <c r="D4" s="2"/>
      <c r="E4" s="2"/>
      <c r="F4" s="2"/>
      <c r="G4" s="2"/>
      <c r="H4" s="2"/>
    </row>
    <row r="5" spans="1:8" ht="15" customHeight="1" x14ac:dyDescent="0.5">
      <c r="A5" s="10" t="s">
        <v>2</v>
      </c>
      <c r="B5" s="12">
        <v>1</v>
      </c>
      <c r="C5" s="3"/>
      <c r="D5" s="2"/>
      <c r="E5" s="2"/>
      <c r="F5" s="2"/>
      <c r="G5" s="2"/>
      <c r="H5" s="2"/>
    </row>
    <row r="6" spans="1:8" ht="15" customHeight="1" x14ac:dyDescent="0.5">
      <c r="A6" s="3"/>
      <c r="B6" s="3"/>
      <c r="C6" s="3"/>
      <c r="D6" s="2"/>
      <c r="E6" s="2"/>
      <c r="F6" s="2"/>
      <c r="G6" s="2"/>
      <c r="H6" s="2"/>
    </row>
    <row r="7" spans="1:8" ht="15" hidden="1" customHeight="1" x14ac:dyDescent="0.5">
      <c r="A7" s="82" t="s">
        <v>3</v>
      </c>
      <c r="B7" s="83"/>
      <c r="C7" s="83"/>
      <c r="D7" s="83"/>
      <c r="E7" s="83"/>
      <c r="F7" s="83"/>
      <c r="G7" s="83"/>
      <c r="H7" s="84"/>
    </row>
    <row r="8" spans="1:8" ht="47.65" thickBot="1" x14ac:dyDescent="0.55000000000000004">
      <c r="A8" s="17" t="s">
        <v>4</v>
      </c>
      <c r="B8" s="18" t="s">
        <v>5</v>
      </c>
      <c r="C8" s="18" t="s">
        <v>6</v>
      </c>
      <c r="D8" s="19" t="s">
        <v>23</v>
      </c>
      <c r="E8" s="18" t="s">
        <v>24</v>
      </c>
      <c r="F8" s="19" t="s">
        <v>27</v>
      </c>
      <c r="G8" s="19" t="s">
        <v>26</v>
      </c>
      <c r="H8" s="18" t="s">
        <v>10</v>
      </c>
    </row>
    <row r="9" spans="1:8" ht="15" customHeight="1" x14ac:dyDescent="0.5">
      <c r="A9" s="4"/>
      <c r="B9" s="22" t="s">
        <v>32</v>
      </c>
      <c r="C9" s="23" t="s">
        <v>34</v>
      </c>
      <c r="D9" s="24" t="s">
        <v>38</v>
      </c>
      <c r="E9" s="24">
        <v>1</v>
      </c>
      <c r="F9" s="24">
        <v>13.8</v>
      </c>
      <c r="G9" s="24">
        <f t="shared" ref="G9:G10" si="0">E9*F9</f>
        <v>13.8</v>
      </c>
      <c r="H9" s="26" t="s">
        <v>11</v>
      </c>
    </row>
    <row r="10" spans="1:8" ht="15" customHeight="1" x14ac:dyDescent="0.5">
      <c r="A10" s="4"/>
      <c r="B10" s="25" t="s">
        <v>35</v>
      </c>
      <c r="C10" s="13" t="s">
        <v>33</v>
      </c>
      <c r="D10" s="14" t="s">
        <v>39</v>
      </c>
      <c r="E10" s="14">
        <v>1</v>
      </c>
      <c r="F10" s="14">
        <v>0.97</v>
      </c>
      <c r="G10" s="14">
        <f t="shared" si="0"/>
        <v>0.97</v>
      </c>
      <c r="H10" s="27" t="s">
        <v>11</v>
      </c>
    </row>
    <row r="11" spans="1:8" ht="15" customHeight="1" x14ac:dyDescent="0.5">
      <c r="A11" s="32"/>
      <c r="B11" s="33"/>
      <c r="C11" s="11"/>
      <c r="D11" s="11"/>
      <c r="E11" s="11"/>
      <c r="F11" s="11"/>
      <c r="G11" s="31"/>
      <c r="H11" s="31"/>
    </row>
    <row r="12" spans="1:8" ht="47.65" thickBot="1" x14ac:dyDescent="0.55000000000000004">
      <c r="A12" s="37" t="s">
        <v>14</v>
      </c>
      <c r="B12" s="18" t="s">
        <v>5</v>
      </c>
      <c r="C12" s="18" t="s">
        <v>6</v>
      </c>
      <c r="D12" s="19" t="s">
        <v>7</v>
      </c>
      <c r="E12" s="18" t="s">
        <v>24</v>
      </c>
      <c r="F12" s="19" t="s">
        <v>8</v>
      </c>
      <c r="G12" s="19" t="s">
        <v>9</v>
      </c>
      <c r="H12" s="18" t="s">
        <v>10</v>
      </c>
    </row>
    <row r="13" spans="1:8" ht="15" customHeight="1" x14ac:dyDescent="0.5">
      <c r="A13" s="4"/>
      <c r="B13" s="15" t="s">
        <v>32</v>
      </c>
      <c r="C13" s="15" t="s">
        <v>34</v>
      </c>
      <c r="D13" s="16" t="s">
        <v>38</v>
      </c>
      <c r="E13" s="16">
        <v>1</v>
      </c>
      <c r="F13" s="16">
        <v>13.8</v>
      </c>
      <c r="G13" s="16">
        <f t="shared" ref="G13" si="1">E13*F13</f>
        <v>13.8</v>
      </c>
      <c r="H13" s="16" t="s">
        <v>11</v>
      </c>
    </row>
    <row r="14" spans="1:8" ht="15" customHeight="1" x14ac:dyDescent="0.5">
      <c r="A14" s="4"/>
      <c r="B14" s="20"/>
      <c r="C14" s="20"/>
      <c r="D14" s="74" t="s">
        <v>12</v>
      </c>
      <c r="E14" s="74"/>
      <c r="F14" s="74"/>
      <c r="G14" s="16">
        <f>SUM(G13:G13)</f>
        <v>13.8</v>
      </c>
      <c r="H14" s="16" t="s">
        <v>11</v>
      </c>
    </row>
    <row r="15" spans="1:8" ht="15" customHeight="1" thickBot="1" x14ac:dyDescent="0.55000000000000004">
      <c r="A15" s="4"/>
      <c r="D15" s="75" t="s">
        <v>13</v>
      </c>
      <c r="E15" s="75"/>
      <c r="F15" s="75"/>
      <c r="G15" s="29">
        <v>0.25</v>
      </c>
      <c r="H15" s="29"/>
    </row>
    <row r="16" spans="1:8" ht="15" customHeight="1" thickTop="1" x14ac:dyDescent="0.5">
      <c r="A16" s="6"/>
      <c r="D16" s="74" t="s">
        <v>15</v>
      </c>
      <c r="E16" s="74"/>
      <c r="F16" s="74"/>
      <c r="G16" s="16">
        <f>G14*(1+G15)</f>
        <v>17.25</v>
      </c>
      <c r="H16" s="16" t="s">
        <v>11</v>
      </c>
    </row>
    <row r="17" spans="1:8" ht="15" customHeight="1" x14ac:dyDescent="0.5">
      <c r="A17" s="7"/>
      <c r="B17" s="30"/>
      <c r="C17" s="30"/>
      <c r="D17" s="31"/>
      <c r="E17" s="31"/>
      <c r="F17" s="31"/>
      <c r="G17" s="9"/>
      <c r="H17" s="9"/>
    </row>
    <row r="18" spans="1:8" ht="15" customHeight="1" thickBot="1" x14ac:dyDescent="0.55000000000000004">
      <c r="A18" s="36" t="s">
        <v>25</v>
      </c>
      <c r="B18" s="35" t="s">
        <v>16</v>
      </c>
      <c r="C18" s="35" t="s">
        <v>36</v>
      </c>
      <c r="D18" s="28" t="s">
        <v>37</v>
      </c>
      <c r="E18" s="28">
        <v>1</v>
      </c>
      <c r="F18" s="28">
        <v>1000</v>
      </c>
      <c r="G18" s="28">
        <f>E18*F18</f>
        <v>1000</v>
      </c>
      <c r="H18" s="28" t="s">
        <v>11</v>
      </c>
    </row>
    <row r="19" spans="1:8" ht="15" customHeight="1" thickTop="1" x14ac:dyDescent="0.5">
      <c r="A19" s="32"/>
      <c r="B19" s="79" t="s">
        <v>17</v>
      </c>
      <c r="C19" s="79"/>
      <c r="D19" s="79"/>
      <c r="E19" s="79"/>
      <c r="F19" s="79"/>
      <c r="G19" s="16">
        <f>G18-G16</f>
        <v>982.75</v>
      </c>
      <c r="H19" s="16" t="s">
        <v>11</v>
      </c>
    </row>
    <row r="20" spans="1:8" ht="15" customHeight="1" x14ac:dyDescent="0.5">
      <c r="A20" s="51"/>
      <c r="B20" s="52"/>
      <c r="C20" s="53"/>
      <c r="D20" s="53"/>
      <c r="E20" s="53"/>
      <c r="F20" s="53"/>
      <c r="G20" s="54"/>
      <c r="H20" s="54"/>
    </row>
    <row r="21" spans="1:8" ht="47.65" thickBot="1" x14ac:dyDescent="0.55000000000000004">
      <c r="A21" s="37" t="s">
        <v>18</v>
      </c>
      <c r="B21" s="18" t="s">
        <v>5</v>
      </c>
      <c r="C21" s="18" t="s">
        <v>6</v>
      </c>
      <c r="D21" s="19" t="s">
        <v>7</v>
      </c>
      <c r="E21" s="18" t="s">
        <v>24</v>
      </c>
      <c r="F21" s="19" t="s">
        <v>8</v>
      </c>
      <c r="G21" s="19" t="s">
        <v>9</v>
      </c>
      <c r="H21" s="18" t="s">
        <v>10</v>
      </c>
    </row>
    <row r="22" spans="1:8" ht="15" customHeight="1" thickBot="1" x14ac:dyDescent="0.55000000000000004">
      <c r="A22" s="4"/>
      <c r="B22" s="15" t="s">
        <v>35</v>
      </c>
      <c r="C22" s="15" t="s">
        <v>33</v>
      </c>
      <c r="D22" s="16" t="s">
        <v>39</v>
      </c>
      <c r="E22" s="16">
        <v>1</v>
      </c>
      <c r="F22" s="16">
        <v>0.97</v>
      </c>
      <c r="G22" s="16">
        <v>0.97</v>
      </c>
      <c r="H22" s="16" t="s">
        <v>11</v>
      </c>
    </row>
    <row r="23" spans="1:8" ht="15" customHeight="1" thickTop="1" x14ac:dyDescent="0.5">
      <c r="A23" s="4"/>
      <c r="C23" s="49"/>
      <c r="D23" s="65" t="s">
        <v>12</v>
      </c>
      <c r="E23" s="66"/>
      <c r="F23" s="67"/>
      <c r="G23" s="16">
        <f>SUM(G21:G22)</f>
        <v>0.97</v>
      </c>
      <c r="H23" s="16" t="s">
        <v>11</v>
      </c>
    </row>
    <row r="24" spans="1:8" ht="15" customHeight="1" thickBot="1" x14ac:dyDescent="0.55000000000000004">
      <c r="A24" s="4"/>
      <c r="C24" s="50"/>
      <c r="D24" s="68" t="s">
        <v>13</v>
      </c>
      <c r="E24" s="69"/>
      <c r="F24" s="70"/>
      <c r="G24" s="29">
        <v>0.25</v>
      </c>
      <c r="H24" s="29"/>
    </row>
    <row r="25" spans="1:8" ht="15" customHeight="1" thickTop="1" x14ac:dyDescent="0.5">
      <c r="A25" s="4"/>
      <c r="B25" s="20"/>
      <c r="C25" s="50"/>
      <c r="D25" s="65" t="s">
        <v>19</v>
      </c>
      <c r="E25" s="66"/>
      <c r="F25" s="67"/>
      <c r="G25" s="16">
        <f>G23*(1+G24)</f>
        <v>1.2124999999999999</v>
      </c>
      <c r="H25" s="16" t="s">
        <v>11</v>
      </c>
    </row>
    <row r="26" spans="1:8" ht="15" customHeight="1" x14ac:dyDescent="0.5">
      <c r="A26" s="7"/>
      <c r="C26" s="48"/>
      <c r="D26" s="5"/>
      <c r="E26" s="5"/>
      <c r="G26" s="55"/>
      <c r="H26" s="21"/>
    </row>
    <row r="27" spans="1:8" ht="16.149999999999999" thickBot="1" x14ac:dyDescent="0.55000000000000004">
      <c r="A27" s="64" t="s">
        <v>25</v>
      </c>
      <c r="B27" s="61" t="s">
        <v>40</v>
      </c>
      <c r="C27" s="62" t="s">
        <v>41</v>
      </c>
      <c r="D27" s="63" t="s">
        <v>42</v>
      </c>
      <c r="E27" s="63">
        <v>1</v>
      </c>
      <c r="F27" s="63">
        <v>600</v>
      </c>
      <c r="G27" s="63">
        <f>E27*F27</f>
        <v>600</v>
      </c>
      <c r="H27" s="63" t="s">
        <v>11</v>
      </c>
    </row>
    <row r="28" spans="1:8" ht="15" customHeight="1" thickTop="1" x14ac:dyDescent="0.5">
      <c r="A28" s="20"/>
      <c r="B28" s="71" t="s">
        <v>20</v>
      </c>
      <c r="C28" s="72"/>
      <c r="D28" s="72"/>
      <c r="E28" s="72"/>
      <c r="F28" s="73"/>
      <c r="G28" s="16">
        <f>G27-G25</f>
        <v>598.78750000000002</v>
      </c>
      <c r="H28" s="16" t="s">
        <v>11</v>
      </c>
    </row>
    <row r="29" spans="1:8" s="20" customFormat="1" ht="15" customHeight="1" thickBot="1" x14ac:dyDescent="0.55000000000000004">
      <c r="A29" s="59"/>
      <c r="B29" s="59"/>
      <c r="C29" s="59"/>
      <c r="D29" s="59"/>
      <c r="E29" s="59"/>
      <c r="F29" s="60"/>
      <c r="G29" s="57"/>
      <c r="H29" s="56"/>
    </row>
    <row r="30" spans="1:8" ht="47.65" thickBot="1" x14ac:dyDescent="0.55000000000000004">
      <c r="A30" s="39" t="s">
        <v>43</v>
      </c>
      <c r="B30" s="40" t="s">
        <v>5</v>
      </c>
      <c r="C30" s="40" t="s">
        <v>6</v>
      </c>
      <c r="D30" s="41" t="s">
        <v>7</v>
      </c>
      <c r="E30" s="41" t="s">
        <v>21</v>
      </c>
      <c r="F30" s="41" t="s">
        <v>8</v>
      </c>
      <c r="G30" s="41" t="s">
        <v>9</v>
      </c>
      <c r="H30" s="42" t="s">
        <v>10</v>
      </c>
    </row>
    <row r="31" spans="1:8" ht="15" customHeight="1" x14ac:dyDescent="0.5">
      <c r="A31" s="43" t="s">
        <v>46</v>
      </c>
      <c r="B31" s="38" t="s">
        <v>45</v>
      </c>
      <c r="C31" s="16" t="s">
        <v>51</v>
      </c>
      <c r="D31" s="16" t="s">
        <v>47</v>
      </c>
      <c r="E31" s="16" t="s">
        <v>48</v>
      </c>
      <c r="F31" s="16">
        <v>3000</v>
      </c>
      <c r="G31" s="16">
        <v>3000</v>
      </c>
      <c r="H31" s="44" t="s">
        <v>11</v>
      </c>
    </row>
    <row r="32" spans="1:8" ht="15" customHeight="1" x14ac:dyDescent="0.5">
      <c r="A32" s="45"/>
      <c r="B32" s="34"/>
      <c r="C32" s="34"/>
      <c r="D32" s="14"/>
      <c r="E32" s="14"/>
      <c r="F32" s="14"/>
      <c r="G32" s="14"/>
      <c r="H32" s="27"/>
    </row>
    <row r="33" spans="1:9" ht="40.15" customHeight="1" x14ac:dyDescent="0.5">
      <c r="A33" s="85" t="s">
        <v>44</v>
      </c>
      <c r="B33" s="86" t="s">
        <v>49</v>
      </c>
      <c r="C33" s="86" t="s">
        <v>36</v>
      </c>
      <c r="D33" s="86" t="s">
        <v>50</v>
      </c>
      <c r="E33" s="86">
        <v>1</v>
      </c>
      <c r="F33" s="86">
        <v>1000</v>
      </c>
      <c r="G33" s="86">
        <f t="shared" ref="G33" si="2">E33*F33</f>
        <v>1000</v>
      </c>
      <c r="H33" s="87" t="s">
        <v>11</v>
      </c>
    </row>
    <row r="34" spans="1:9" ht="15" customHeight="1" thickBot="1" x14ac:dyDescent="0.55000000000000004">
      <c r="A34" s="76" t="s">
        <v>22</v>
      </c>
      <c r="B34" s="77"/>
      <c r="C34" s="77"/>
      <c r="D34" s="77"/>
      <c r="E34" s="77"/>
      <c r="F34" s="78"/>
      <c r="G34" s="46">
        <f>G31-SUM(G33:G33)</f>
        <v>2000</v>
      </c>
      <c r="H34" s="47" t="s">
        <v>11</v>
      </c>
    </row>
    <row r="35" spans="1:9" ht="15" customHeight="1" x14ac:dyDescent="0.5">
      <c r="A35" s="8"/>
      <c r="B35" s="21"/>
      <c r="C35" s="21"/>
      <c r="D35" s="21"/>
      <c r="E35" s="21"/>
      <c r="F35" s="21"/>
      <c r="G35" s="58"/>
      <c r="H35" s="58"/>
      <c r="I35" s="20"/>
    </row>
  </sheetData>
  <mergeCells count="11">
    <mergeCell ref="A1:H1"/>
    <mergeCell ref="A7:H7"/>
    <mergeCell ref="A34:F34"/>
    <mergeCell ref="D23:F23"/>
    <mergeCell ref="D24:F24"/>
    <mergeCell ref="D25:F25"/>
    <mergeCell ref="B28:F28"/>
    <mergeCell ref="D14:F14"/>
    <mergeCell ref="D15:F15"/>
    <mergeCell ref="B19:F19"/>
    <mergeCell ref="D16:F16"/>
  </mergeCells>
  <conditionalFormatting sqref="G19:G20 G28 G11">
    <cfRule type="cellIs" dxfId="0" priority="1" operator="lessThan">
      <formula>0</formula>
    </cfRule>
  </conditionalFormatting>
  <printOptions horizontalCentered="1"/>
  <pageMargins left="0.25" right="0" top="0.5" bottom="0.5" header="0.3" footer="0.3"/>
  <pageSetup fitToHeight="0" orientation="landscape" r:id="rId1"/>
  <rowBreaks count="2" manualBreakCount="2">
    <brk id="10" max="7" man="1"/>
    <brk id="28" max="7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Power Budget</vt:lpstr>
      <vt:lpstr>'Power Budget'!Print_Area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Logan Maelstrom</cp:lastModifiedBy>
  <cp:lastPrinted>2026-10-28T03:00:23Z</cp:lastPrinted>
  <dcterms:created xsi:type="dcterms:W3CDTF">2026-10-28T02:52:29Z</dcterms:created>
  <dcterms:modified xsi:type="dcterms:W3CDTF">2026-10-30T19:00:33Z</dcterms:modified>
</cp:coreProperties>
</file>